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BBEFBA3-71E9-4A4A-B07F-8D3B2F0D2B2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ВС" sheetId="1" r:id="rId1"/>
    <sheet name="КВС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2" l="1"/>
  <c r="D72" i="2"/>
  <c r="E63" i="1"/>
  <c r="E64" i="1" s="1"/>
  <c r="E65" i="1" s="1"/>
  <c r="E66" i="1" s="1"/>
  <c r="E67" i="1" s="1"/>
  <c r="E57" i="1"/>
  <c r="E58" i="1" s="1"/>
  <c r="E59" i="1" s="1"/>
  <c r="E60" i="1" s="1"/>
  <c r="E61" i="1" s="1"/>
  <c r="E51" i="1"/>
  <c r="E52" i="1" s="1"/>
  <c r="E53" i="1" s="1"/>
  <c r="E54" i="1" s="1"/>
  <c r="E55" i="1" s="1"/>
  <c r="E45" i="1"/>
  <c r="E46" i="1" s="1"/>
  <c r="E47" i="1" s="1"/>
  <c r="E48" i="1" s="1"/>
  <c r="E49" i="1" s="1"/>
  <c r="E39" i="1"/>
  <c r="E40" i="1" s="1"/>
  <c r="E41" i="1" s="1"/>
  <c r="E42" i="1" s="1"/>
  <c r="E43" i="1" s="1"/>
  <c r="E33" i="1"/>
  <c r="E34" i="1" s="1"/>
  <c r="E35" i="1" s="1"/>
  <c r="E36" i="1" s="1"/>
  <c r="E37" i="1" s="1"/>
  <c r="E27" i="1"/>
  <c r="E28" i="1" s="1"/>
  <c r="E29" i="1" s="1"/>
  <c r="E30" i="1" s="1"/>
  <c r="E31" i="1" s="1"/>
  <c r="E21" i="1"/>
  <c r="E22" i="1" s="1"/>
  <c r="E23" i="1" s="1"/>
  <c r="E24" i="1" s="1"/>
  <c r="E25" i="1" s="1"/>
  <c r="E9" i="1"/>
  <c r="E10" i="1" s="1"/>
  <c r="E11" i="1" s="1"/>
  <c r="E12" i="1" s="1"/>
  <c r="E13" i="1" s="1"/>
  <c r="E3" i="1"/>
  <c r="E4" i="1" s="1"/>
  <c r="E5" i="1" s="1"/>
  <c r="E6" i="1" s="1"/>
  <c r="E7" i="1" s="1"/>
  <c r="E15" i="1"/>
  <c r="E16" i="1" s="1"/>
  <c r="E17" i="1" s="1"/>
  <c r="E18" i="1" s="1"/>
  <c r="E19" i="1" s="1"/>
  <c r="E17" i="2"/>
  <c r="E31" i="2" s="1"/>
  <c r="E45" i="2" s="1"/>
  <c r="E59" i="2" s="1"/>
  <c r="E73" i="2" s="1"/>
  <c r="E18" i="2"/>
  <c r="E32" i="2" s="1"/>
  <c r="E46" i="2" s="1"/>
  <c r="E60" i="2" s="1"/>
  <c r="E74" i="2" s="1"/>
  <c r="E19" i="2"/>
  <c r="E33" i="2" s="1"/>
  <c r="E47" i="2" s="1"/>
  <c r="E61" i="2" s="1"/>
  <c r="E75" i="2" s="1"/>
  <c r="E20" i="2"/>
  <c r="E34" i="2" s="1"/>
  <c r="E48" i="2" s="1"/>
  <c r="E62" i="2" s="1"/>
  <c r="E76" i="2" s="1"/>
  <c r="E21" i="2"/>
  <c r="E35" i="2" s="1"/>
  <c r="E49" i="2" s="1"/>
  <c r="E63" i="2" s="1"/>
  <c r="E77" i="2" s="1"/>
  <c r="E22" i="2"/>
  <c r="E36" i="2" s="1"/>
  <c r="E50" i="2" s="1"/>
  <c r="E64" i="2" s="1"/>
  <c r="E78" i="2" s="1"/>
  <c r="E23" i="2"/>
  <c r="E37" i="2" s="1"/>
  <c r="E51" i="2" s="1"/>
  <c r="E65" i="2" s="1"/>
  <c r="E79" i="2" s="1"/>
  <c r="E24" i="2"/>
  <c r="E38" i="2" s="1"/>
  <c r="E52" i="2" s="1"/>
  <c r="E66" i="2" s="1"/>
  <c r="E80" i="2" s="1"/>
  <c r="E25" i="2"/>
  <c r="E39" i="2" s="1"/>
  <c r="E53" i="2" s="1"/>
  <c r="E67" i="2" s="1"/>
  <c r="E81" i="2" s="1"/>
  <c r="E26" i="2"/>
  <c r="E40" i="2" s="1"/>
  <c r="E54" i="2" s="1"/>
  <c r="E68" i="2" s="1"/>
  <c r="E82" i="2" s="1"/>
  <c r="E27" i="2"/>
  <c r="E41" i="2" s="1"/>
  <c r="E55" i="2" s="1"/>
  <c r="E69" i="2" s="1"/>
  <c r="E83" i="2" s="1"/>
  <c r="E28" i="2"/>
  <c r="E42" i="2" s="1"/>
  <c r="E56" i="2" s="1"/>
  <c r="E70" i="2" s="1"/>
  <c r="E84" i="2" s="1"/>
  <c r="E29" i="2"/>
  <c r="E43" i="2" s="1"/>
  <c r="E57" i="2" s="1"/>
  <c r="E71" i="2" s="1"/>
  <c r="E85" i="2" s="1"/>
  <c r="E16" i="2"/>
  <c r="E30" i="2" s="1"/>
  <c r="D44" i="2"/>
  <c r="D30" i="2"/>
  <c r="D16" i="2"/>
  <c r="D2" i="2"/>
  <c r="D8" i="1"/>
  <c r="D62" i="1"/>
  <c r="D56" i="1"/>
  <c r="D50" i="1"/>
  <c r="D44" i="1"/>
  <c r="D38" i="1"/>
  <c r="D32" i="1"/>
  <c r="D26" i="1"/>
  <c r="D20" i="1"/>
  <c r="D14" i="1"/>
  <c r="D2" i="1"/>
  <c r="E44" i="2" l="1"/>
  <c r="E58" i="2" s="1"/>
  <c r="E72" i="2" s="1"/>
</calcChain>
</file>

<file path=xl/sharedStrings.xml><?xml version="1.0" encoding="utf-8"?>
<sst xmlns="http://schemas.openxmlformats.org/spreadsheetml/2006/main" count="177" uniqueCount="39">
  <si>
    <t>Налет борта</t>
  </si>
  <si>
    <t>Месяц</t>
  </si>
  <si>
    <t>КВС</t>
  </si>
  <si>
    <t>Бортовой номер</t>
  </si>
  <si>
    <t>RA-02549</t>
  </si>
  <si>
    <t>Январь</t>
  </si>
  <si>
    <t>Итого</t>
  </si>
  <si>
    <t>Рыдванский Ю.П.</t>
  </si>
  <si>
    <t>Федоров Д.А.</t>
  </si>
  <si>
    <t>Волков М.В.</t>
  </si>
  <si>
    <t>Маланьин А.Ю.</t>
  </si>
  <si>
    <t>Пронин А.К.</t>
  </si>
  <si>
    <t>Февраль</t>
  </si>
  <si>
    <t>Март</t>
  </si>
  <si>
    <t>Апрель</t>
  </si>
  <si>
    <t>Май</t>
  </si>
  <si>
    <t>RA-2991G</t>
  </si>
  <si>
    <t>RA-01619</t>
  </si>
  <si>
    <t>RA-04063</t>
  </si>
  <si>
    <t>RA-04186</t>
  </si>
  <si>
    <t>RA-04359</t>
  </si>
  <si>
    <t>RA-05828</t>
  </si>
  <si>
    <t>RA-07338</t>
  </si>
  <si>
    <t>RA-07375</t>
  </si>
  <si>
    <t>RA-07518</t>
  </si>
  <si>
    <t>RA-01902</t>
  </si>
  <si>
    <t>Налет</t>
  </si>
  <si>
    <t>Ельников Е.Е.</t>
  </si>
  <si>
    <t>Каримов А.Р.</t>
  </si>
  <si>
    <t>Калиновский Д.А.</t>
  </si>
  <si>
    <t>Кузьмин Д.Ф.</t>
  </si>
  <si>
    <t>Болдырев А.Г.</t>
  </si>
  <si>
    <t>Ганжа Г.А.</t>
  </si>
  <si>
    <t>Мареев С.В.</t>
  </si>
  <si>
    <t>Левочкин В.В.</t>
  </si>
  <si>
    <t>Герасимов О.С.</t>
  </si>
  <si>
    <t>КВС Нарастающий</t>
  </si>
  <si>
    <t>ВС Нарастающий</t>
  </si>
  <si>
    <t>Июнь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</si>
</sst>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7"/>
  <sheetViews>
    <sheetView tabSelected="1" zoomScale="70" zoomScaleNormal="70" workbookViewId="0">
      <selection activeCell="C25" sqref="C25"/>
    </sheetView>
  </sheetViews>
  <sheetFormatPr defaultRowHeight="14.5" x14ac:dyDescent="0.35"/>
  <cols>
    <col min="1" max="1" width="18.81640625" style="2" customWidth="1"/>
    <col min="2" max="2" width="18.81640625" style="1" customWidth="1"/>
    <col min="3" max="3" width="18.81640625" style="2" customWidth="1"/>
    <col min="4" max="4" width="18.81640625" customWidth="1"/>
    <col min="5" max="5" width="18.81640625" style="1" customWidth="1"/>
  </cols>
  <sheetData>
    <row r="1" spans="1:5" x14ac:dyDescent="0.35">
      <c r="A1" s="5" t="s">
        <v>1</v>
      </c>
      <c r="B1" s="6" t="s">
        <v>3</v>
      </c>
      <c r="C1" s="5" t="s">
        <v>0</v>
      </c>
      <c r="D1" s="5" t="s">
        <v>6</v>
      </c>
      <c r="E1" s="5" t="s">
        <v>37</v>
      </c>
    </row>
    <row r="2" spans="1:5" x14ac:dyDescent="0.35">
      <c r="A2" s="7" t="s">
        <v>5</v>
      </c>
      <c r="B2" s="19" t="s">
        <v>17</v>
      </c>
      <c r="C2" s="8">
        <v>9.375E-2</v>
      </c>
      <c r="D2" s="16">
        <f>SUM(C2:C6)</f>
        <v>0.59791666666666665</v>
      </c>
      <c r="E2" s="9"/>
    </row>
    <row r="3" spans="1:5" x14ac:dyDescent="0.35">
      <c r="A3" s="7" t="s">
        <v>12</v>
      </c>
      <c r="B3" s="20"/>
      <c r="C3" s="8">
        <v>0.14861111111111111</v>
      </c>
      <c r="D3" s="17"/>
      <c r="E3" s="9">
        <f>C3+C2</f>
        <v>0.24236111111111111</v>
      </c>
    </row>
    <row r="4" spans="1:5" x14ac:dyDescent="0.35">
      <c r="A4" s="7" t="s">
        <v>13</v>
      </c>
      <c r="B4" s="20"/>
      <c r="C4" s="8">
        <v>3.0555555555555555E-2</v>
      </c>
      <c r="D4" s="17"/>
      <c r="E4" s="9">
        <f>E3+C4</f>
        <v>0.27291666666666664</v>
      </c>
    </row>
    <row r="5" spans="1:5" x14ac:dyDescent="0.35">
      <c r="A5" s="7" t="s">
        <v>14</v>
      </c>
      <c r="B5" s="20"/>
      <c r="C5" s="8">
        <v>0.2361111111111111</v>
      </c>
      <c r="D5" s="17"/>
      <c r="E5" s="9">
        <f t="shared" ref="E5:E7" si="0">E4+C5</f>
        <v>0.50902777777777775</v>
      </c>
    </row>
    <row r="6" spans="1:5" x14ac:dyDescent="0.35">
      <c r="A6" s="7" t="s">
        <v>15</v>
      </c>
      <c r="B6" s="20"/>
      <c r="C6" s="8">
        <v>8.8888888888888892E-2</v>
      </c>
      <c r="D6" s="17"/>
      <c r="E6" s="9">
        <f t="shared" si="0"/>
        <v>0.59791666666666665</v>
      </c>
    </row>
    <row r="7" spans="1:5" x14ac:dyDescent="0.35">
      <c r="A7" s="7" t="s">
        <v>38</v>
      </c>
      <c r="B7" s="21"/>
      <c r="C7" s="8">
        <v>0.38472222222222224</v>
      </c>
      <c r="D7" s="18"/>
      <c r="E7" s="9">
        <f t="shared" si="0"/>
        <v>0.98263888888888884</v>
      </c>
    </row>
    <row r="8" spans="1:5" x14ac:dyDescent="0.35">
      <c r="A8" s="7" t="s">
        <v>5</v>
      </c>
      <c r="B8" s="19" t="s">
        <v>25</v>
      </c>
      <c r="C8" s="8">
        <v>6.9444444444444441E-3</v>
      </c>
      <c r="D8" s="16">
        <f>SUM(C8:C12)</f>
        <v>0.58888888888888891</v>
      </c>
      <c r="E8" s="9"/>
    </row>
    <row r="9" spans="1:5" x14ac:dyDescent="0.35">
      <c r="A9" s="7" t="s">
        <v>12</v>
      </c>
      <c r="B9" s="20"/>
      <c r="C9" s="8">
        <v>3.125E-2</v>
      </c>
      <c r="D9" s="17"/>
      <c r="E9" s="9">
        <f>C9+C8</f>
        <v>3.8194444444444448E-2</v>
      </c>
    </row>
    <row r="10" spans="1:5" x14ac:dyDescent="0.35">
      <c r="A10" s="7" t="s">
        <v>13</v>
      </c>
      <c r="B10" s="20"/>
      <c r="C10" s="8">
        <v>0.17291666666666666</v>
      </c>
      <c r="D10" s="17"/>
      <c r="E10" s="9">
        <f>E9+C10</f>
        <v>0.21111111111111111</v>
      </c>
    </row>
    <row r="11" spans="1:5" x14ac:dyDescent="0.35">
      <c r="A11" s="7" t="s">
        <v>14</v>
      </c>
      <c r="B11" s="20"/>
      <c r="C11" s="8">
        <v>0.18680555555555556</v>
      </c>
      <c r="D11" s="17"/>
      <c r="E11" s="9">
        <f t="shared" ref="E11:E13" si="1">E10+C11</f>
        <v>0.3979166666666667</v>
      </c>
    </row>
    <row r="12" spans="1:5" x14ac:dyDescent="0.35">
      <c r="A12" s="7" t="s">
        <v>15</v>
      </c>
      <c r="B12" s="20"/>
      <c r="C12" s="8">
        <v>0.19097222222222221</v>
      </c>
      <c r="D12" s="17"/>
      <c r="E12" s="9">
        <f t="shared" si="1"/>
        <v>0.58888888888888891</v>
      </c>
    </row>
    <row r="13" spans="1:5" x14ac:dyDescent="0.35">
      <c r="A13" s="7" t="s">
        <v>38</v>
      </c>
      <c r="B13" s="21"/>
      <c r="C13" s="8">
        <v>0.28819444444444442</v>
      </c>
      <c r="D13" s="18"/>
      <c r="E13" s="9">
        <f t="shared" si="1"/>
        <v>0.87708333333333333</v>
      </c>
    </row>
    <row r="14" spans="1:5" x14ac:dyDescent="0.35">
      <c r="A14" s="7" t="s">
        <v>5</v>
      </c>
      <c r="B14" s="19" t="s">
        <v>4</v>
      </c>
      <c r="C14" s="8">
        <v>0.62222222222222223</v>
      </c>
      <c r="D14" s="16">
        <f>SUM(C14:C18)</f>
        <v>3.0701388888888888</v>
      </c>
      <c r="E14" s="9"/>
    </row>
    <row r="15" spans="1:5" x14ac:dyDescent="0.35">
      <c r="A15" s="7" t="s">
        <v>12</v>
      </c>
      <c r="B15" s="20"/>
      <c r="C15" s="8">
        <v>0.63541666666666663</v>
      </c>
      <c r="D15" s="17"/>
      <c r="E15" s="9">
        <f>C15+C14</f>
        <v>1.2576388888888888</v>
      </c>
    </row>
    <row r="16" spans="1:5" x14ac:dyDescent="0.35">
      <c r="A16" s="7" t="s">
        <v>13</v>
      </c>
      <c r="B16" s="20"/>
      <c r="C16" s="8">
        <v>0.72152777777777777</v>
      </c>
      <c r="D16" s="17"/>
      <c r="E16" s="9">
        <f>E15+C16</f>
        <v>1.9791666666666665</v>
      </c>
    </row>
    <row r="17" spans="1:5" x14ac:dyDescent="0.35">
      <c r="A17" s="7" t="s">
        <v>14</v>
      </c>
      <c r="B17" s="20"/>
      <c r="C17" s="8">
        <v>0.8354166666666667</v>
      </c>
      <c r="D17" s="17"/>
      <c r="E17" s="9">
        <f t="shared" ref="E17:E19" si="2">E16+C17</f>
        <v>2.8145833333333332</v>
      </c>
    </row>
    <row r="18" spans="1:5" x14ac:dyDescent="0.35">
      <c r="A18" s="7" t="s">
        <v>15</v>
      </c>
      <c r="B18" s="20"/>
      <c r="C18" s="8">
        <v>0.25555555555555554</v>
      </c>
      <c r="D18" s="17"/>
      <c r="E18" s="9">
        <f t="shared" si="2"/>
        <v>3.0701388888888888</v>
      </c>
    </row>
    <row r="19" spans="1:5" x14ac:dyDescent="0.35">
      <c r="A19" s="7" t="s">
        <v>38</v>
      </c>
      <c r="B19" s="21"/>
      <c r="C19" s="8">
        <v>0.11319444444444444</v>
      </c>
      <c r="D19" s="18"/>
      <c r="E19" s="9">
        <f t="shared" si="2"/>
        <v>3.1833333333333331</v>
      </c>
    </row>
    <row r="20" spans="1:5" x14ac:dyDescent="0.35">
      <c r="A20" s="7" t="s">
        <v>5</v>
      </c>
      <c r="B20" s="19" t="s">
        <v>18</v>
      </c>
      <c r="C20" s="8">
        <v>0.16250000000000001</v>
      </c>
      <c r="D20" s="16">
        <f>SUM(C20:C24)</f>
        <v>2.0750000000000002</v>
      </c>
      <c r="E20" s="9"/>
    </row>
    <row r="21" spans="1:5" x14ac:dyDescent="0.35">
      <c r="A21" s="7" t="s">
        <v>12</v>
      </c>
      <c r="B21" s="20"/>
      <c r="C21" s="8">
        <v>0.69444444444444442</v>
      </c>
      <c r="D21" s="17"/>
      <c r="E21" s="9">
        <f>C21+C20</f>
        <v>0.8569444444444444</v>
      </c>
    </row>
    <row r="22" spans="1:5" x14ac:dyDescent="0.35">
      <c r="A22" s="7" t="s">
        <v>13</v>
      </c>
      <c r="B22" s="20"/>
      <c r="C22" s="8">
        <v>0.22083333333333333</v>
      </c>
      <c r="D22" s="17"/>
      <c r="E22" s="9">
        <f>E21+C22</f>
        <v>1.0777777777777777</v>
      </c>
    </row>
    <row r="23" spans="1:5" x14ac:dyDescent="0.35">
      <c r="A23" s="7" t="s">
        <v>14</v>
      </c>
      <c r="B23" s="20"/>
      <c r="C23" s="8">
        <v>0.27430555555555558</v>
      </c>
      <c r="D23" s="17"/>
      <c r="E23" s="9">
        <f t="shared" ref="E23:E25" si="3">E22+C23</f>
        <v>1.3520833333333333</v>
      </c>
    </row>
    <row r="24" spans="1:5" x14ac:dyDescent="0.35">
      <c r="A24" s="7" t="s">
        <v>15</v>
      </c>
      <c r="B24" s="20"/>
      <c r="C24" s="8">
        <v>0.72291666666666665</v>
      </c>
      <c r="D24" s="17"/>
      <c r="E24" s="9">
        <f t="shared" si="3"/>
        <v>2.0750000000000002</v>
      </c>
    </row>
    <row r="25" spans="1:5" x14ac:dyDescent="0.35">
      <c r="A25" s="7" t="s">
        <v>38</v>
      </c>
      <c r="B25" s="21"/>
      <c r="C25" s="8">
        <v>0.50069444444444444</v>
      </c>
      <c r="D25" s="18"/>
      <c r="E25" s="9">
        <f t="shared" si="3"/>
        <v>2.5756944444444447</v>
      </c>
    </row>
    <row r="26" spans="1:5" x14ac:dyDescent="0.35">
      <c r="A26" s="7" t="s">
        <v>5</v>
      </c>
      <c r="B26" s="19" t="s">
        <v>19</v>
      </c>
      <c r="C26" s="8">
        <v>0.44166666666666665</v>
      </c>
      <c r="D26" s="16">
        <f>SUM(C26:C30)</f>
        <v>1.6909722222222221</v>
      </c>
      <c r="E26" s="9"/>
    </row>
    <row r="27" spans="1:5" x14ac:dyDescent="0.35">
      <c r="A27" s="7" t="s">
        <v>12</v>
      </c>
      <c r="B27" s="20"/>
      <c r="C27" s="8">
        <v>0.31736111111111109</v>
      </c>
      <c r="D27" s="17"/>
      <c r="E27" s="9">
        <f>C27+C26</f>
        <v>0.75902777777777775</v>
      </c>
    </row>
    <row r="28" spans="1:5" x14ac:dyDescent="0.35">
      <c r="A28" s="7" t="s">
        <v>13</v>
      </c>
      <c r="B28" s="20"/>
      <c r="C28" s="8">
        <v>0.45069444444444445</v>
      </c>
      <c r="D28" s="17"/>
      <c r="E28" s="9">
        <f>E27+C28</f>
        <v>1.2097222222222221</v>
      </c>
    </row>
    <row r="29" spans="1:5" x14ac:dyDescent="0.35">
      <c r="A29" s="7" t="s">
        <v>14</v>
      </c>
      <c r="B29" s="20"/>
      <c r="C29" s="8">
        <v>0.22569444444444445</v>
      </c>
      <c r="D29" s="17"/>
      <c r="E29" s="9">
        <f t="shared" ref="E29:E31" si="4">E28+C29</f>
        <v>1.4354166666666666</v>
      </c>
    </row>
    <row r="30" spans="1:5" x14ac:dyDescent="0.35">
      <c r="A30" s="7" t="s">
        <v>15</v>
      </c>
      <c r="B30" s="20"/>
      <c r="C30" s="8">
        <v>0.25555555555555554</v>
      </c>
      <c r="D30" s="17"/>
      <c r="E30" s="9">
        <f t="shared" si="4"/>
        <v>1.6909722222222221</v>
      </c>
    </row>
    <row r="31" spans="1:5" x14ac:dyDescent="0.35">
      <c r="A31" s="7" t="s">
        <v>38</v>
      </c>
      <c r="B31" s="21"/>
      <c r="C31" s="8">
        <v>0.41249999999999998</v>
      </c>
      <c r="D31" s="18"/>
      <c r="E31" s="9">
        <f t="shared" si="4"/>
        <v>2.103472222222222</v>
      </c>
    </row>
    <row r="32" spans="1:5" x14ac:dyDescent="0.35">
      <c r="A32" s="7" t="s">
        <v>5</v>
      </c>
      <c r="B32" s="19" t="s">
        <v>20</v>
      </c>
      <c r="C32" s="8">
        <v>0.37291666666666667</v>
      </c>
      <c r="D32" s="16">
        <f>SUM(C32:C36)</f>
        <v>4.0395833333333329</v>
      </c>
      <c r="E32" s="9"/>
    </row>
    <row r="33" spans="1:5" x14ac:dyDescent="0.35">
      <c r="A33" s="7" t="s">
        <v>12</v>
      </c>
      <c r="B33" s="20"/>
      <c r="C33" s="8">
        <v>1.6298611111111112</v>
      </c>
      <c r="D33" s="17"/>
      <c r="E33" s="9">
        <f>C33+C32</f>
        <v>2.0027777777777778</v>
      </c>
    </row>
    <row r="34" spans="1:5" x14ac:dyDescent="0.35">
      <c r="A34" s="7" t="s">
        <v>13</v>
      </c>
      <c r="B34" s="20"/>
      <c r="C34" s="8">
        <v>1.7881944444444444</v>
      </c>
      <c r="D34" s="17"/>
      <c r="E34" s="9">
        <f>E33+C34</f>
        <v>3.790972222222222</v>
      </c>
    </row>
    <row r="35" spans="1:5" x14ac:dyDescent="0.35">
      <c r="A35" s="7" t="s">
        <v>14</v>
      </c>
      <c r="B35" s="20"/>
      <c r="C35" s="8">
        <v>0.19791666666666666</v>
      </c>
      <c r="D35" s="17"/>
      <c r="E35" s="9">
        <f t="shared" ref="E35:E37" si="5">E34+C35</f>
        <v>3.9888888888888885</v>
      </c>
    </row>
    <row r="36" spans="1:5" x14ac:dyDescent="0.35">
      <c r="A36" s="7" t="s">
        <v>15</v>
      </c>
      <c r="B36" s="20"/>
      <c r="C36" s="8">
        <v>5.0694444444444445E-2</v>
      </c>
      <c r="D36" s="17"/>
      <c r="E36" s="9">
        <f t="shared" si="5"/>
        <v>4.0395833333333329</v>
      </c>
    </row>
    <row r="37" spans="1:5" x14ac:dyDescent="0.35">
      <c r="A37" s="7" t="s">
        <v>38</v>
      </c>
      <c r="B37" s="21"/>
      <c r="C37" s="8">
        <v>2.013888888888889E-2</v>
      </c>
      <c r="D37" s="18"/>
      <c r="E37" s="9">
        <f t="shared" si="5"/>
        <v>4.0597222222222218</v>
      </c>
    </row>
    <row r="38" spans="1:5" x14ac:dyDescent="0.35">
      <c r="A38" s="7" t="s">
        <v>5</v>
      </c>
      <c r="B38" s="19" t="s">
        <v>21</v>
      </c>
      <c r="C38" s="8">
        <v>8.6805555555555552E-2</v>
      </c>
      <c r="D38" s="16">
        <f>SUM(C38:C42)</f>
        <v>0.31666666666666665</v>
      </c>
      <c r="E38" s="9"/>
    </row>
    <row r="39" spans="1:5" x14ac:dyDescent="0.35">
      <c r="A39" s="7" t="s">
        <v>12</v>
      </c>
      <c r="B39" s="20"/>
      <c r="C39" s="8">
        <v>6.1805555555555558E-2</v>
      </c>
      <c r="D39" s="17"/>
      <c r="E39" s="9">
        <f>C39+C38</f>
        <v>0.14861111111111111</v>
      </c>
    </row>
    <row r="40" spans="1:5" x14ac:dyDescent="0.35">
      <c r="A40" s="7" t="s">
        <v>13</v>
      </c>
      <c r="B40" s="20"/>
      <c r="C40" s="8">
        <v>0</v>
      </c>
      <c r="D40" s="17"/>
      <c r="E40" s="9">
        <f>E39+C40</f>
        <v>0.14861111111111111</v>
      </c>
    </row>
    <row r="41" spans="1:5" x14ac:dyDescent="0.35">
      <c r="A41" s="7" t="s">
        <v>14</v>
      </c>
      <c r="B41" s="20"/>
      <c r="C41" s="8">
        <v>7.8472222222222221E-2</v>
      </c>
      <c r="D41" s="17"/>
      <c r="E41" s="9">
        <f t="shared" ref="E41:E43" si="6">E40+C41</f>
        <v>0.22708333333333333</v>
      </c>
    </row>
    <row r="42" spans="1:5" x14ac:dyDescent="0.35">
      <c r="A42" s="7" t="s">
        <v>15</v>
      </c>
      <c r="B42" s="20"/>
      <c r="C42" s="8">
        <v>8.9583333333333334E-2</v>
      </c>
      <c r="D42" s="17"/>
      <c r="E42" s="9">
        <f t="shared" si="6"/>
        <v>0.31666666666666665</v>
      </c>
    </row>
    <row r="43" spans="1:5" x14ac:dyDescent="0.35">
      <c r="A43" s="7" t="s">
        <v>38</v>
      </c>
      <c r="B43" s="21"/>
      <c r="C43" s="8">
        <v>0.17083333333333334</v>
      </c>
      <c r="D43" s="18"/>
      <c r="E43" s="9">
        <f t="shared" si="6"/>
        <v>0.48749999999999999</v>
      </c>
    </row>
    <row r="44" spans="1:5" x14ac:dyDescent="0.35">
      <c r="A44" s="7" t="s">
        <v>5</v>
      </c>
      <c r="B44" s="19" t="s">
        <v>22</v>
      </c>
      <c r="C44" s="8">
        <v>0.2902777777777778</v>
      </c>
      <c r="D44" s="16">
        <f>SUM(C44:C48)</f>
        <v>1.1520833333333333</v>
      </c>
      <c r="E44" s="9"/>
    </row>
    <row r="45" spans="1:5" x14ac:dyDescent="0.35">
      <c r="A45" s="7" t="s">
        <v>12</v>
      </c>
      <c r="B45" s="20"/>
      <c r="C45" s="8">
        <v>0.19513888888888889</v>
      </c>
      <c r="D45" s="17"/>
      <c r="E45" s="9">
        <f>C45+C44</f>
        <v>0.48541666666666672</v>
      </c>
    </row>
    <row r="46" spans="1:5" x14ac:dyDescent="0.35">
      <c r="A46" s="7" t="s">
        <v>13</v>
      </c>
      <c r="B46" s="20"/>
      <c r="C46" s="8">
        <v>0.11805555555555555</v>
      </c>
      <c r="D46" s="17"/>
      <c r="E46" s="9">
        <f>E45+C46</f>
        <v>0.6034722222222223</v>
      </c>
    </row>
    <row r="47" spans="1:5" x14ac:dyDescent="0.35">
      <c r="A47" s="7" t="s">
        <v>14</v>
      </c>
      <c r="B47" s="20"/>
      <c r="C47" s="8">
        <v>0.38263888888888886</v>
      </c>
      <c r="D47" s="17"/>
      <c r="E47" s="9">
        <f t="shared" ref="E47:E49" si="7">E46+C47</f>
        <v>0.98611111111111116</v>
      </c>
    </row>
    <row r="48" spans="1:5" x14ac:dyDescent="0.35">
      <c r="A48" s="7" t="s">
        <v>15</v>
      </c>
      <c r="B48" s="20"/>
      <c r="C48" s="8">
        <v>0.16597222222222222</v>
      </c>
      <c r="D48" s="17"/>
      <c r="E48" s="9">
        <f t="shared" si="7"/>
        <v>1.1520833333333333</v>
      </c>
    </row>
    <row r="49" spans="1:5" x14ac:dyDescent="0.35">
      <c r="A49" s="7" t="s">
        <v>38</v>
      </c>
      <c r="B49" s="21"/>
      <c r="C49" s="8">
        <v>0.37083333333333335</v>
      </c>
      <c r="D49" s="18"/>
      <c r="E49" s="9">
        <f t="shared" si="7"/>
        <v>1.5229166666666667</v>
      </c>
    </row>
    <row r="50" spans="1:5" x14ac:dyDescent="0.35">
      <c r="A50" s="7" t="s">
        <v>5</v>
      </c>
      <c r="B50" s="19" t="s">
        <v>23</v>
      </c>
      <c r="C50" s="8">
        <v>0.48472222222222222</v>
      </c>
      <c r="D50" s="16">
        <f>SUM(C50:C54)</f>
        <v>1.0444444444444443</v>
      </c>
      <c r="E50" s="9"/>
    </row>
    <row r="51" spans="1:5" x14ac:dyDescent="0.35">
      <c r="A51" s="7" t="s">
        <v>12</v>
      </c>
      <c r="B51" s="20"/>
      <c r="C51" s="8">
        <v>6.3194444444444442E-2</v>
      </c>
      <c r="D51" s="17"/>
      <c r="E51" s="9">
        <f>C51+C50</f>
        <v>0.54791666666666661</v>
      </c>
    </row>
    <row r="52" spans="1:5" x14ac:dyDescent="0.35">
      <c r="A52" s="7" t="s">
        <v>13</v>
      </c>
      <c r="B52" s="20"/>
      <c r="C52" s="8">
        <v>0.31597222222222221</v>
      </c>
      <c r="D52" s="17"/>
      <c r="E52" s="9">
        <f>E51+C52</f>
        <v>0.86388888888888882</v>
      </c>
    </row>
    <row r="53" spans="1:5" x14ac:dyDescent="0.35">
      <c r="A53" s="7" t="s">
        <v>14</v>
      </c>
      <c r="B53" s="20"/>
      <c r="C53" s="8">
        <v>7.9861111111111105E-2</v>
      </c>
      <c r="D53" s="17"/>
      <c r="E53" s="9">
        <f>E52+C53</f>
        <v>0.94374999999999987</v>
      </c>
    </row>
    <row r="54" spans="1:5" x14ac:dyDescent="0.35">
      <c r="A54" s="7" t="s">
        <v>15</v>
      </c>
      <c r="B54" s="20"/>
      <c r="C54" s="8">
        <v>0.10069444444444445</v>
      </c>
      <c r="D54" s="17"/>
      <c r="E54" s="9">
        <f>E53+C54</f>
        <v>1.0444444444444443</v>
      </c>
    </row>
    <row r="55" spans="1:5" x14ac:dyDescent="0.35">
      <c r="A55" s="7" t="s">
        <v>38</v>
      </c>
      <c r="B55" s="21"/>
      <c r="C55" s="8">
        <v>0.33194444444444443</v>
      </c>
      <c r="D55" s="18"/>
      <c r="E55" s="9">
        <f t="shared" ref="E55" si="8">E54+C55</f>
        <v>1.3763888888888887</v>
      </c>
    </row>
    <row r="56" spans="1:5" x14ac:dyDescent="0.35">
      <c r="A56" s="7" t="s">
        <v>5</v>
      </c>
      <c r="B56" s="19" t="s">
        <v>24</v>
      </c>
      <c r="C56" s="8">
        <v>0.44444444444444442</v>
      </c>
      <c r="D56" s="16">
        <f>SUM(C56:C60)</f>
        <v>1.6416666666666666</v>
      </c>
      <c r="E56" s="9"/>
    </row>
    <row r="57" spans="1:5" x14ac:dyDescent="0.35">
      <c r="A57" s="7" t="s">
        <v>12</v>
      </c>
      <c r="B57" s="20"/>
      <c r="C57" s="8">
        <v>0.72152777777777777</v>
      </c>
      <c r="D57" s="17"/>
      <c r="E57" s="9">
        <f>C57+C56</f>
        <v>1.1659722222222222</v>
      </c>
    </row>
    <row r="58" spans="1:5" x14ac:dyDescent="0.35">
      <c r="A58" s="7" t="s">
        <v>13</v>
      </c>
      <c r="B58" s="20"/>
      <c r="C58" s="8">
        <v>0.25</v>
      </c>
      <c r="D58" s="17"/>
      <c r="E58" s="9">
        <f>E57+C58</f>
        <v>1.4159722222222222</v>
      </c>
    </row>
    <row r="59" spans="1:5" x14ac:dyDescent="0.35">
      <c r="A59" s="7" t="s">
        <v>14</v>
      </c>
      <c r="B59" s="20"/>
      <c r="C59" s="8">
        <v>0</v>
      </c>
      <c r="D59" s="17"/>
      <c r="E59" s="9">
        <f>E58+C59</f>
        <v>1.4159722222222222</v>
      </c>
    </row>
    <row r="60" spans="1:5" x14ac:dyDescent="0.35">
      <c r="A60" s="7" t="s">
        <v>15</v>
      </c>
      <c r="B60" s="20"/>
      <c r="C60" s="8">
        <v>0.22569444444444445</v>
      </c>
      <c r="D60" s="17"/>
      <c r="E60" s="9">
        <f>E59+C60</f>
        <v>1.6416666666666666</v>
      </c>
    </row>
    <row r="61" spans="1:5" x14ac:dyDescent="0.35">
      <c r="A61" s="7" t="s">
        <v>38</v>
      </c>
      <c r="B61" s="21"/>
      <c r="C61" s="8">
        <v>0.13680555555555557</v>
      </c>
      <c r="D61" s="18"/>
      <c r="E61" s="9">
        <f t="shared" ref="E61" si="9">E60+C61</f>
        <v>1.7784722222222222</v>
      </c>
    </row>
    <row r="62" spans="1:5" x14ac:dyDescent="0.35">
      <c r="A62" s="7" t="s">
        <v>5</v>
      </c>
      <c r="B62" s="19" t="s">
        <v>16</v>
      </c>
      <c r="C62" s="8">
        <v>0.19444444444444445</v>
      </c>
      <c r="D62" s="16">
        <f>SUM(C62:C66)</f>
        <v>2.8347222222222221</v>
      </c>
      <c r="E62" s="9"/>
    </row>
    <row r="63" spans="1:5" x14ac:dyDescent="0.35">
      <c r="A63" s="7" t="s">
        <v>12</v>
      </c>
      <c r="B63" s="20"/>
      <c r="C63" s="8">
        <v>0.90208333333333335</v>
      </c>
      <c r="D63" s="17"/>
      <c r="E63" s="9">
        <f>C63+C62</f>
        <v>1.0965277777777778</v>
      </c>
    </row>
    <row r="64" spans="1:5" x14ac:dyDescent="0.35">
      <c r="A64" s="7" t="s">
        <v>13</v>
      </c>
      <c r="B64" s="20"/>
      <c r="C64" s="8">
        <v>1.0625</v>
      </c>
      <c r="D64" s="17"/>
      <c r="E64" s="9">
        <f>E63+C64</f>
        <v>2.1590277777777778</v>
      </c>
    </row>
    <row r="65" spans="1:5" x14ac:dyDescent="0.35">
      <c r="A65" s="7" t="s">
        <v>14</v>
      </c>
      <c r="B65" s="20"/>
      <c r="C65" s="8">
        <v>0.53888888888888886</v>
      </c>
      <c r="D65" s="17"/>
      <c r="E65" s="9">
        <f>E64+C65</f>
        <v>2.6979166666666665</v>
      </c>
    </row>
    <row r="66" spans="1:5" x14ac:dyDescent="0.35">
      <c r="A66" s="7" t="s">
        <v>15</v>
      </c>
      <c r="B66" s="20"/>
      <c r="C66" s="8">
        <v>0.13680555555555557</v>
      </c>
      <c r="D66" s="17"/>
      <c r="E66" s="9">
        <f>E65+C66</f>
        <v>2.8347222222222221</v>
      </c>
    </row>
    <row r="67" spans="1:5" x14ac:dyDescent="0.35">
      <c r="A67" s="7" t="s">
        <v>38</v>
      </c>
      <c r="B67" s="21"/>
      <c r="C67" s="8">
        <v>0.57222222222222219</v>
      </c>
      <c r="D67" s="18"/>
      <c r="E67" s="9">
        <f t="shared" ref="E67" si="10">E66+C67</f>
        <v>3.4069444444444441</v>
      </c>
    </row>
  </sheetData>
  <mergeCells count="22">
    <mergeCell ref="D14:D19"/>
    <mergeCell ref="B14:B19"/>
    <mergeCell ref="D8:D13"/>
    <mergeCell ref="B8:B13"/>
    <mergeCell ref="D2:D7"/>
    <mergeCell ref="B2:B7"/>
    <mergeCell ref="D32:D37"/>
    <mergeCell ref="B32:B37"/>
    <mergeCell ref="D26:D31"/>
    <mergeCell ref="B26:B31"/>
    <mergeCell ref="D20:D25"/>
    <mergeCell ref="B20:B25"/>
    <mergeCell ref="D62:D67"/>
    <mergeCell ref="B62:B67"/>
    <mergeCell ref="D56:D61"/>
    <mergeCell ref="B56:B61"/>
    <mergeCell ref="D50:D55"/>
    <mergeCell ref="B50:B55"/>
    <mergeCell ref="D44:D49"/>
    <mergeCell ref="B44:B49"/>
    <mergeCell ref="D38:D43"/>
    <mergeCell ref="B38:B43"/>
  </mergeCells>
  <pageMargins left="0.7" right="0.7" top="0.75" bottom="0.75" header="0.3" footer="0.3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298B-2B71-4BF1-BF8B-A4FD4F68E3B1}">
  <sheetPr>
    <pageSetUpPr fitToPage="1"/>
  </sheetPr>
  <dimension ref="A1:E85"/>
  <sheetViews>
    <sheetView topLeftCell="A52" workbookViewId="0">
      <selection activeCell="B93" sqref="B93"/>
    </sheetView>
  </sheetViews>
  <sheetFormatPr defaultRowHeight="14.5" x14ac:dyDescent="0.35"/>
  <cols>
    <col min="1" max="1" width="24.453125" style="3" customWidth="1"/>
    <col min="2" max="2" width="24.453125" customWidth="1"/>
    <col min="3" max="3" width="24.453125" style="4" customWidth="1"/>
    <col min="4" max="4" width="24.453125" customWidth="1"/>
    <col min="5" max="5" width="24.453125" style="1" customWidth="1"/>
  </cols>
  <sheetData>
    <row r="1" spans="1:5" x14ac:dyDescent="0.35">
      <c r="A1" s="10" t="s">
        <v>2</v>
      </c>
      <c r="B1" s="10" t="s">
        <v>1</v>
      </c>
      <c r="C1" s="11" t="s">
        <v>26</v>
      </c>
      <c r="D1" s="10" t="s">
        <v>6</v>
      </c>
      <c r="E1" s="10" t="s">
        <v>36</v>
      </c>
    </row>
    <row r="2" spans="1:5" x14ac:dyDescent="0.35">
      <c r="A2" s="12" t="s">
        <v>11</v>
      </c>
      <c r="B2" s="13" t="s">
        <v>5</v>
      </c>
      <c r="C2" s="9">
        <v>0.4465277777777778</v>
      </c>
      <c r="D2" s="14">
        <f>SUM(C2:C15)</f>
        <v>2.6999999999999997</v>
      </c>
      <c r="E2" s="15"/>
    </row>
    <row r="3" spans="1:5" x14ac:dyDescent="0.35">
      <c r="A3" s="12" t="s">
        <v>27</v>
      </c>
      <c r="B3" s="13"/>
      <c r="C3" s="9">
        <v>0.18194444444444444</v>
      </c>
      <c r="D3" s="13"/>
      <c r="E3" s="15"/>
    </row>
    <row r="4" spans="1:5" x14ac:dyDescent="0.35">
      <c r="A4" s="12" t="s">
        <v>28</v>
      </c>
      <c r="B4" s="13"/>
      <c r="C4" s="9">
        <v>0</v>
      </c>
      <c r="D4" s="13"/>
      <c r="E4" s="15"/>
    </row>
    <row r="5" spans="1:5" x14ac:dyDescent="0.35">
      <c r="A5" s="12" t="s">
        <v>7</v>
      </c>
      <c r="B5" s="13"/>
      <c r="C5" s="9">
        <v>0.44097222222222221</v>
      </c>
      <c r="D5" s="13"/>
      <c r="E5" s="15"/>
    </row>
    <row r="6" spans="1:5" x14ac:dyDescent="0.35">
      <c r="A6" s="12" t="s">
        <v>29</v>
      </c>
      <c r="B6" s="13"/>
      <c r="C6" s="9">
        <v>0</v>
      </c>
      <c r="D6" s="13"/>
      <c r="E6" s="15"/>
    </row>
    <row r="7" spans="1:5" x14ac:dyDescent="0.35">
      <c r="A7" s="12" t="s">
        <v>10</v>
      </c>
      <c r="B7" s="13"/>
      <c r="C7" s="9">
        <v>0.31041666666666667</v>
      </c>
      <c r="D7" s="13"/>
      <c r="E7" s="15"/>
    </row>
    <row r="8" spans="1:5" x14ac:dyDescent="0.35">
      <c r="A8" s="12" t="s">
        <v>30</v>
      </c>
      <c r="B8" s="13"/>
      <c r="C8" s="9">
        <v>6.9444444444444441E-3</v>
      </c>
      <c r="D8" s="13"/>
      <c r="E8" s="15"/>
    </row>
    <row r="9" spans="1:5" x14ac:dyDescent="0.35">
      <c r="A9" s="12" t="s">
        <v>8</v>
      </c>
      <c r="B9" s="13"/>
      <c r="C9" s="9">
        <v>8.4027777777777785E-2</v>
      </c>
      <c r="D9" s="13"/>
      <c r="E9" s="15"/>
    </row>
    <row r="10" spans="1:5" x14ac:dyDescent="0.35">
      <c r="A10" s="12" t="s">
        <v>31</v>
      </c>
      <c r="B10" s="13"/>
      <c r="C10" s="9">
        <v>0.14583333333333334</v>
      </c>
      <c r="D10" s="13"/>
      <c r="E10" s="15"/>
    </row>
    <row r="11" spans="1:5" x14ac:dyDescent="0.35">
      <c r="A11" s="12" t="s">
        <v>32</v>
      </c>
      <c r="B11" s="13"/>
      <c r="C11" s="9">
        <v>0.55694444444444446</v>
      </c>
      <c r="D11" s="13"/>
      <c r="E11" s="15"/>
    </row>
    <row r="12" spans="1:5" x14ac:dyDescent="0.35">
      <c r="A12" s="12" t="s">
        <v>9</v>
      </c>
      <c r="B12" s="13"/>
      <c r="C12" s="9">
        <v>3.5416666666666666E-2</v>
      </c>
      <c r="D12" s="13"/>
      <c r="E12" s="15"/>
    </row>
    <row r="13" spans="1:5" x14ac:dyDescent="0.35">
      <c r="A13" s="12" t="s">
        <v>33</v>
      </c>
      <c r="B13" s="13"/>
      <c r="C13" s="9">
        <v>0.3972222222222222</v>
      </c>
      <c r="D13" s="13"/>
      <c r="E13" s="15"/>
    </row>
    <row r="14" spans="1:5" x14ac:dyDescent="0.35">
      <c r="A14" s="12" t="s">
        <v>34</v>
      </c>
      <c r="B14" s="13"/>
      <c r="C14" s="9">
        <v>4.8611111111111112E-2</v>
      </c>
      <c r="D14" s="13"/>
      <c r="E14" s="15"/>
    </row>
    <row r="15" spans="1:5" x14ac:dyDescent="0.35">
      <c r="A15" s="12" t="s">
        <v>35</v>
      </c>
      <c r="B15" s="13"/>
      <c r="C15" s="9">
        <v>4.5138888888888888E-2</v>
      </c>
      <c r="D15" s="13"/>
      <c r="E15" s="15"/>
    </row>
    <row r="16" spans="1:5" x14ac:dyDescent="0.35">
      <c r="A16" s="12" t="s">
        <v>11</v>
      </c>
      <c r="B16" s="13" t="s">
        <v>12</v>
      </c>
      <c r="C16" s="9">
        <v>0.16805555555555557</v>
      </c>
      <c r="D16" s="14">
        <f>SUM(C16:C29)</f>
        <v>3.8590277777777779</v>
      </c>
      <c r="E16" s="9">
        <f>C2+C16</f>
        <v>0.61458333333333337</v>
      </c>
    </row>
    <row r="17" spans="1:5" x14ac:dyDescent="0.35">
      <c r="A17" s="12" t="s">
        <v>27</v>
      </c>
      <c r="B17" s="13"/>
      <c r="C17" s="9">
        <v>0.54374999999999996</v>
      </c>
      <c r="D17" s="13"/>
      <c r="E17" s="9">
        <f t="shared" ref="E17:E29" si="0">C3+C17</f>
        <v>0.72569444444444442</v>
      </c>
    </row>
    <row r="18" spans="1:5" x14ac:dyDescent="0.35">
      <c r="A18" s="12" t="s">
        <v>28</v>
      </c>
      <c r="B18" s="13"/>
      <c r="C18" s="9">
        <v>0</v>
      </c>
      <c r="D18" s="13"/>
      <c r="E18" s="9">
        <f t="shared" si="0"/>
        <v>0</v>
      </c>
    </row>
    <row r="19" spans="1:5" x14ac:dyDescent="0.35">
      <c r="A19" s="12" t="s">
        <v>7</v>
      </c>
      <c r="B19" s="13"/>
      <c r="C19" s="9">
        <v>1.2256944444444444</v>
      </c>
      <c r="D19" s="13"/>
      <c r="E19" s="9">
        <f t="shared" si="0"/>
        <v>1.6666666666666665</v>
      </c>
    </row>
    <row r="20" spans="1:5" x14ac:dyDescent="0.35">
      <c r="A20" s="12" t="s">
        <v>29</v>
      </c>
      <c r="B20" s="13"/>
      <c r="C20" s="9">
        <v>0</v>
      </c>
      <c r="D20" s="13"/>
      <c r="E20" s="9">
        <f t="shared" si="0"/>
        <v>0</v>
      </c>
    </row>
    <row r="21" spans="1:5" x14ac:dyDescent="0.35">
      <c r="A21" s="12" t="s">
        <v>10</v>
      </c>
      <c r="B21" s="13"/>
      <c r="C21" s="9">
        <v>0.32222222222222224</v>
      </c>
      <c r="D21" s="13"/>
      <c r="E21" s="9">
        <f t="shared" si="0"/>
        <v>0.63263888888888897</v>
      </c>
    </row>
    <row r="22" spans="1:5" x14ac:dyDescent="0.35">
      <c r="A22" s="12" t="s">
        <v>30</v>
      </c>
      <c r="B22" s="13"/>
      <c r="C22" s="9">
        <v>3.125E-2</v>
      </c>
      <c r="D22" s="13"/>
      <c r="E22" s="9">
        <f t="shared" si="0"/>
        <v>3.8194444444444448E-2</v>
      </c>
    </row>
    <row r="23" spans="1:5" x14ac:dyDescent="0.35">
      <c r="A23" s="12" t="s">
        <v>8</v>
      </c>
      <c r="B23" s="13"/>
      <c r="C23" s="9">
        <v>0.16666666666666666</v>
      </c>
      <c r="D23" s="13"/>
      <c r="E23" s="9">
        <f t="shared" si="0"/>
        <v>0.25069444444444444</v>
      </c>
    </row>
    <row r="24" spans="1:5" x14ac:dyDescent="0.35">
      <c r="A24" s="12" t="s">
        <v>31</v>
      </c>
      <c r="B24" s="13"/>
      <c r="C24" s="9">
        <v>0.59375</v>
      </c>
      <c r="D24" s="13"/>
      <c r="E24" s="9">
        <f t="shared" si="0"/>
        <v>0.73958333333333337</v>
      </c>
    </row>
    <row r="25" spans="1:5" x14ac:dyDescent="0.35">
      <c r="A25" s="12" t="s">
        <v>32</v>
      </c>
      <c r="B25" s="13"/>
      <c r="C25" s="9">
        <v>0.65902777777777777</v>
      </c>
      <c r="D25" s="13"/>
      <c r="E25" s="9">
        <f t="shared" si="0"/>
        <v>1.2159722222222222</v>
      </c>
    </row>
    <row r="26" spans="1:5" x14ac:dyDescent="0.35">
      <c r="A26" s="12" t="s">
        <v>9</v>
      </c>
      <c r="B26" s="13"/>
      <c r="C26" s="9">
        <v>0</v>
      </c>
      <c r="D26" s="13"/>
      <c r="E26" s="9">
        <f t="shared" si="0"/>
        <v>3.5416666666666666E-2</v>
      </c>
    </row>
    <row r="27" spans="1:5" x14ac:dyDescent="0.35">
      <c r="A27" s="12" t="s">
        <v>33</v>
      </c>
      <c r="B27" s="13"/>
      <c r="C27" s="9">
        <v>0</v>
      </c>
      <c r="D27" s="13"/>
      <c r="E27" s="9">
        <f t="shared" si="0"/>
        <v>0.3972222222222222</v>
      </c>
    </row>
    <row r="28" spans="1:5" x14ac:dyDescent="0.35">
      <c r="A28" s="12" t="s">
        <v>34</v>
      </c>
      <c r="B28" s="13"/>
      <c r="C28" s="9">
        <v>9.7222222222222224E-2</v>
      </c>
      <c r="D28" s="13"/>
      <c r="E28" s="9">
        <f t="shared" si="0"/>
        <v>0.14583333333333334</v>
      </c>
    </row>
    <row r="29" spans="1:5" x14ac:dyDescent="0.35">
      <c r="A29" s="12" t="s">
        <v>35</v>
      </c>
      <c r="B29" s="13"/>
      <c r="C29" s="9">
        <v>5.1388888888888887E-2</v>
      </c>
      <c r="D29" s="13"/>
      <c r="E29" s="9">
        <f t="shared" si="0"/>
        <v>9.6527777777777768E-2</v>
      </c>
    </row>
    <row r="30" spans="1:5" x14ac:dyDescent="0.35">
      <c r="A30" s="12" t="s">
        <v>11</v>
      </c>
      <c r="B30" s="13" t="s">
        <v>13</v>
      </c>
      <c r="C30" s="9">
        <v>1.8493055555555555</v>
      </c>
      <c r="D30" s="14">
        <f>SUM(C30:C43)</f>
        <v>6.7958333333333334</v>
      </c>
      <c r="E30" s="9">
        <f>E16+C30</f>
        <v>2.463888888888889</v>
      </c>
    </row>
    <row r="31" spans="1:5" x14ac:dyDescent="0.35">
      <c r="A31" s="12" t="s">
        <v>27</v>
      </c>
      <c r="B31" s="13"/>
      <c r="C31" s="9">
        <v>0.80138888888888893</v>
      </c>
      <c r="D31" s="13"/>
      <c r="E31" s="9">
        <f t="shared" ref="E31:E71" si="1">E17+C31</f>
        <v>1.5270833333333333</v>
      </c>
    </row>
    <row r="32" spans="1:5" x14ac:dyDescent="0.35">
      <c r="A32" s="12" t="s">
        <v>28</v>
      </c>
      <c r="B32" s="13"/>
      <c r="C32" s="9">
        <v>0.17222222222222222</v>
      </c>
      <c r="D32" s="13"/>
      <c r="E32" s="9">
        <f t="shared" si="1"/>
        <v>0.17222222222222222</v>
      </c>
    </row>
    <row r="33" spans="1:5" x14ac:dyDescent="0.35">
      <c r="A33" s="12" t="s">
        <v>7</v>
      </c>
      <c r="B33" s="13"/>
      <c r="C33" s="9">
        <v>1.1958333333333333</v>
      </c>
      <c r="D33" s="13"/>
      <c r="E33" s="9">
        <f t="shared" si="1"/>
        <v>2.8624999999999998</v>
      </c>
    </row>
    <row r="34" spans="1:5" x14ac:dyDescent="0.35">
      <c r="A34" s="12" t="s">
        <v>29</v>
      </c>
      <c r="B34" s="13"/>
      <c r="C34" s="9">
        <v>0</v>
      </c>
      <c r="D34" s="13"/>
      <c r="E34" s="9">
        <f t="shared" si="1"/>
        <v>0</v>
      </c>
    </row>
    <row r="35" spans="1:5" x14ac:dyDescent="0.35">
      <c r="A35" s="12" t="s">
        <v>10</v>
      </c>
      <c r="B35" s="13"/>
      <c r="C35" s="9">
        <v>0.33819444444444446</v>
      </c>
      <c r="D35" s="13"/>
      <c r="E35" s="9">
        <f t="shared" si="1"/>
        <v>0.97083333333333344</v>
      </c>
    </row>
    <row r="36" spans="1:5" x14ac:dyDescent="0.35">
      <c r="A36" s="12" t="s">
        <v>30</v>
      </c>
      <c r="B36" s="13"/>
      <c r="C36" s="9">
        <v>0.69444444444444442</v>
      </c>
      <c r="D36" s="13"/>
      <c r="E36" s="9">
        <f t="shared" si="1"/>
        <v>0.73263888888888884</v>
      </c>
    </row>
    <row r="37" spans="1:5" x14ac:dyDescent="0.35">
      <c r="A37" s="12" t="s">
        <v>8</v>
      </c>
      <c r="B37" s="13"/>
      <c r="C37" s="9">
        <v>0.73055555555555551</v>
      </c>
      <c r="D37" s="13"/>
      <c r="E37" s="9">
        <f t="shared" si="1"/>
        <v>0.98124999999999996</v>
      </c>
    </row>
    <row r="38" spans="1:5" x14ac:dyDescent="0.35">
      <c r="A38" s="12" t="s">
        <v>31</v>
      </c>
      <c r="B38" s="13"/>
      <c r="C38" s="9">
        <v>0.33958333333333335</v>
      </c>
      <c r="D38" s="13"/>
      <c r="E38" s="9">
        <f t="shared" si="1"/>
        <v>1.0791666666666666</v>
      </c>
    </row>
    <row r="39" spans="1:5" x14ac:dyDescent="0.35">
      <c r="A39" s="12" t="s">
        <v>32</v>
      </c>
      <c r="B39" s="13"/>
      <c r="C39" s="9">
        <v>0.2298611111111111</v>
      </c>
      <c r="D39" s="13"/>
      <c r="E39" s="9">
        <f t="shared" si="1"/>
        <v>1.4458333333333333</v>
      </c>
    </row>
    <row r="40" spans="1:5" x14ac:dyDescent="0.35">
      <c r="A40" s="12" t="s">
        <v>9</v>
      </c>
      <c r="B40" s="13"/>
      <c r="C40" s="9">
        <v>9.7916666666666666E-2</v>
      </c>
      <c r="D40" s="13"/>
      <c r="E40" s="9">
        <f t="shared" si="1"/>
        <v>0.13333333333333333</v>
      </c>
    </row>
    <row r="41" spans="1:5" x14ac:dyDescent="0.35">
      <c r="A41" s="12" t="s">
        <v>33</v>
      </c>
      <c r="B41" s="13"/>
      <c r="C41" s="9">
        <v>0.31597222222222221</v>
      </c>
      <c r="D41" s="13"/>
      <c r="E41" s="9">
        <f t="shared" si="1"/>
        <v>0.71319444444444446</v>
      </c>
    </row>
    <row r="42" spans="1:5" x14ac:dyDescent="0.35">
      <c r="A42" s="12" t="s">
        <v>34</v>
      </c>
      <c r="B42" s="13"/>
      <c r="C42" s="9">
        <v>3.0555555555555555E-2</v>
      </c>
      <c r="D42" s="13"/>
      <c r="E42" s="9">
        <f t="shared" si="1"/>
        <v>0.1763888888888889</v>
      </c>
    </row>
    <row r="43" spans="1:5" x14ac:dyDescent="0.35">
      <c r="A43" s="12" t="s">
        <v>35</v>
      </c>
      <c r="B43" s="13"/>
      <c r="C43" s="9">
        <v>0</v>
      </c>
      <c r="D43" s="13"/>
      <c r="E43" s="9">
        <f t="shared" si="1"/>
        <v>9.6527777777777768E-2</v>
      </c>
    </row>
    <row r="44" spans="1:5" x14ac:dyDescent="0.35">
      <c r="A44" s="12" t="s">
        <v>11</v>
      </c>
      <c r="B44" s="13" t="s">
        <v>14</v>
      </c>
      <c r="C44" s="9">
        <v>0.27013888888888887</v>
      </c>
      <c r="D44" s="14">
        <f>SUM(C44:C57)</f>
        <v>3.6111111111111116</v>
      </c>
      <c r="E44" s="9">
        <f>E30+C44</f>
        <v>2.7340277777777779</v>
      </c>
    </row>
    <row r="45" spans="1:5" x14ac:dyDescent="0.35">
      <c r="A45" s="12" t="s">
        <v>27</v>
      </c>
      <c r="B45" s="13"/>
      <c r="C45" s="9">
        <v>0.50416666666666665</v>
      </c>
      <c r="D45" s="13"/>
      <c r="E45" s="9">
        <f t="shared" si="1"/>
        <v>2.03125</v>
      </c>
    </row>
    <row r="46" spans="1:5" x14ac:dyDescent="0.35">
      <c r="A46" s="12" t="s">
        <v>28</v>
      </c>
      <c r="B46" s="13"/>
      <c r="C46" s="9">
        <v>0.28958333333333336</v>
      </c>
      <c r="D46" s="13"/>
      <c r="E46" s="9">
        <f t="shared" si="1"/>
        <v>0.46180555555555558</v>
      </c>
    </row>
    <row r="47" spans="1:5" x14ac:dyDescent="0.35">
      <c r="A47" s="12" t="s">
        <v>7</v>
      </c>
      <c r="B47" s="13"/>
      <c r="C47" s="9">
        <v>0.4236111111111111</v>
      </c>
      <c r="D47" s="13"/>
      <c r="E47" s="9">
        <f t="shared" si="1"/>
        <v>3.286111111111111</v>
      </c>
    </row>
    <row r="48" spans="1:5" x14ac:dyDescent="0.35">
      <c r="A48" s="12" t="s">
        <v>29</v>
      </c>
      <c r="B48" s="13"/>
      <c r="C48" s="9">
        <v>0.52777777777777779</v>
      </c>
      <c r="D48" s="13"/>
      <c r="E48" s="9">
        <f t="shared" si="1"/>
        <v>0.52777777777777779</v>
      </c>
    </row>
    <row r="49" spans="1:5" x14ac:dyDescent="0.35">
      <c r="A49" s="12" t="s">
        <v>10</v>
      </c>
      <c r="B49" s="13"/>
      <c r="C49" s="9">
        <v>0.82777777777777772</v>
      </c>
      <c r="D49" s="13"/>
      <c r="E49" s="9">
        <f t="shared" si="1"/>
        <v>1.7986111111111112</v>
      </c>
    </row>
    <row r="50" spans="1:5" x14ac:dyDescent="0.35">
      <c r="A50" s="12" t="s">
        <v>30</v>
      </c>
      <c r="B50" s="13"/>
      <c r="C50" s="9">
        <v>8.4722222222222227E-2</v>
      </c>
      <c r="D50" s="13"/>
      <c r="E50" s="9">
        <f t="shared" si="1"/>
        <v>0.81736111111111109</v>
      </c>
    </row>
    <row r="51" spans="1:5" x14ac:dyDescent="0.35">
      <c r="A51" s="12" t="s">
        <v>8</v>
      </c>
      <c r="B51" s="13"/>
      <c r="C51" s="9">
        <v>0.16111111111111112</v>
      </c>
      <c r="D51" s="13"/>
      <c r="E51" s="9">
        <f t="shared" si="1"/>
        <v>1.1423611111111112</v>
      </c>
    </row>
    <row r="52" spans="1:5" x14ac:dyDescent="0.35">
      <c r="A52" s="12" t="s">
        <v>31</v>
      </c>
      <c r="B52" s="13"/>
      <c r="C52" s="9">
        <v>0.2</v>
      </c>
      <c r="D52" s="13"/>
      <c r="E52" s="9">
        <f t="shared" si="1"/>
        <v>1.2791666666666666</v>
      </c>
    </row>
    <row r="53" spans="1:5" x14ac:dyDescent="0.35">
      <c r="A53" s="12" t="s">
        <v>32</v>
      </c>
      <c r="B53" s="13"/>
      <c r="C53" s="9">
        <v>6.2500000000000003E-3</v>
      </c>
      <c r="D53" s="13"/>
      <c r="E53" s="9">
        <f t="shared" si="1"/>
        <v>1.4520833333333334</v>
      </c>
    </row>
    <row r="54" spans="1:5" x14ac:dyDescent="0.35">
      <c r="A54" s="12" t="s">
        <v>9</v>
      </c>
      <c r="B54" s="13"/>
      <c r="C54" s="9">
        <v>0</v>
      </c>
      <c r="D54" s="13"/>
      <c r="E54" s="9">
        <f t="shared" si="1"/>
        <v>0.13333333333333333</v>
      </c>
    </row>
    <row r="55" spans="1:5" x14ac:dyDescent="0.35">
      <c r="A55" s="12" t="s">
        <v>33</v>
      </c>
      <c r="B55" s="13"/>
      <c r="C55" s="9">
        <v>7.9861111111111105E-2</v>
      </c>
      <c r="D55" s="13"/>
      <c r="E55" s="9">
        <f t="shared" si="1"/>
        <v>0.79305555555555562</v>
      </c>
    </row>
    <row r="56" spans="1:5" x14ac:dyDescent="0.35">
      <c r="A56" s="12" t="s">
        <v>34</v>
      </c>
      <c r="B56" s="13"/>
      <c r="C56" s="9">
        <v>0.1125</v>
      </c>
      <c r="D56" s="13"/>
      <c r="E56" s="9">
        <f t="shared" si="1"/>
        <v>0.28888888888888892</v>
      </c>
    </row>
    <row r="57" spans="1:5" x14ac:dyDescent="0.35">
      <c r="A57" s="12" t="s">
        <v>35</v>
      </c>
      <c r="B57" s="13"/>
      <c r="C57" s="9">
        <v>0.12361111111111112</v>
      </c>
      <c r="D57" s="13"/>
      <c r="E57" s="9">
        <f t="shared" si="1"/>
        <v>0.22013888888888888</v>
      </c>
    </row>
    <row r="58" spans="1:5" x14ac:dyDescent="0.35">
      <c r="A58" s="12" t="s">
        <v>11</v>
      </c>
      <c r="B58" s="13" t="s">
        <v>15</v>
      </c>
      <c r="C58" s="9">
        <v>0.45902777777777776</v>
      </c>
      <c r="D58" s="14">
        <f>SUM(C58:C71)</f>
        <v>3.7305555555555556</v>
      </c>
      <c r="E58" s="9">
        <f t="shared" si="1"/>
        <v>3.1930555555555555</v>
      </c>
    </row>
    <row r="59" spans="1:5" x14ac:dyDescent="0.35">
      <c r="A59" s="12" t="s">
        <v>27</v>
      </c>
      <c r="B59" s="13"/>
      <c r="C59" s="9">
        <v>0.42777777777777776</v>
      </c>
      <c r="D59" s="13"/>
      <c r="E59" s="9">
        <f t="shared" si="1"/>
        <v>2.4590277777777776</v>
      </c>
    </row>
    <row r="60" spans="1:5" x14ac:dyDescent="0.35">
      <c r="A60" s="12" t="s">
        <v>28</v>
      </c>
      <c r="B60" s="13"/>
      <c r="C60" s="9">
        <v>0.58263888888888893</v>
      </c>
      <c r="D60" s="13"/>
      <c r="E60" s="9">
        <f t="shared" si="1"/>
        <v>1.0444444444444445</v>
      </c>
    </row>
    <row r="61" spans="1:5" x14ac:dyDescent="0.35">
      <c r="A61" s="12" t="s">
        <v>7</v>
      </c>
      <c r="B61" s="13"/>
      <c r="C61" s="9">
        <v>0.11527777777777778</v>
      </c>
      <c r="D61" s="13"/>
      <c r="E61" s="9">
        <f t="shared" si="1"/>
        <v>3.4013888888888886</v>
      </c>
    </row>
    <row r="62" spans="1:5" x14ac:dyDescent="0.35">
      <c r="A62" s="12" t="s">
        <v>29</v>
      </c>
      <c r="B62" s="13"/>
      <c r="C62" s="9">
        <v>0.37222222222222223</v>
      </c>
      <c r="D62" s="13"/>
      <c r="E62" s="9">
        <f t="shared" si="1"/>
        <v>0.9</v>
      </c>
    </row>
    <row r="63" spans="1:5" x14ac:dyDescent="0.35">
      <c r="A63" s="12" t="s">
        <v>10</v>
      </c>
      <c r="B63" s="13"/>
      <c r="C63" s="9">
        <v>9.4444444444444442E-2</v>
      </c>
      <c r="D63" s="13"/>
      <c r="E63" s="9">
        <f t="shared" si="1"/>
        <v>1.8930555555555557</v>
      </c>
    </row>
    <row r="64" spans="1:5" x14ac:dyDescent="0.35">
      <c r="A64" s="12" t="s">
        <v>30</v>
      </c>
      <c r="B64" s="13"/>
      <c r="C64" s="9">
        <v>0.28819444444444442</v>
      </c>
      <c r="D64" s="13"/>
      <c r="E64" s="9">
        <f t="shared" si="1"/>
        <v>1.1055555555555556</v>
      </c>
    </row>
    <row r="65" spans="1:5" x14ac:dyDescent="0.35">
      <c r="A65" s="12" t="s">
        <v>8</v>
      </c>
      <c r="B65" s="13"/>
      <c r="C65" s="9">
        <v>0.6875</v>
      </c>
      <c r="D65" s="13"/>
      <c r="E65" s="9">
        <f t="shared" si="1"/>
        <v>1.8298611111111112</v>
      </c>
    </row>
    <row r="66" spans="1:5" x14ac:dyDescent="0.35">
      <c r="A66" s="12" t="s">
        <v>31</v>
      </c>
      <c r="B66" s="13"/>
      <c r="C66" s="9">
        <v>0.51666666666666672</v>
      </c>
      <c r="D66" s="13"/>
      <c r="E66" s="9">
        <f t="shared" si="1"/>
        <v>1.7958333333333334</v>
      </c>
    </row>
    <row r="67" spans="1:5" x14ac:dyDescent="0.35">
      <c r="A67" s="12" t="s">
        <v>32</v>
      </c>
      <c r="B67" s="13"/>
      <c r="C67" s="9">
        <v>7.6388888888888886E-3</v>
      </c>
      <c r="D67" s="13"/>
      <c r="E67" s="9">
        <f t="shared" si="1"/>
        <v>1.4597222222222224</v>
      </c>
    </row>
    <row r="68" spans="1:5" x14ac:dyDescent="0.35">
      <c r="A68" s="12" t="s">
        <v>9</v>
      </c>
      <c r="B68" s="13"/>
      <c r="C68" s="9">
        <v>0</v>
      </c>
      <c r="D68" s="13"/>
      <c r="E68" s="9">
        <f t="shared" si="1"/>
        <v>0.13333333333333333</v>
      </c>
    </row>
    <row r="69" spans="1:5" x14ac:dyDescent="0.35">
      <c r="A69" s="12" t="s">
        <v>33</v>
      </c>
      <c r="B69" s="13"/>
      <c r="C69" s="9">
        <v>9.0277777777777776E-2</v>
      </c>
      <c r="D69" s="13"/>
      <c r="E69" s="9">
        <f t="shared" si="1"/>
        <v>0.88333333333333341</v>
      </c>
    </row>
    <row r="70" spans="1:5" x14ac:dyDescent="0.35">
      <c r="A70" s="12" t="s">
        <v>34</v>
      </c>
      <c r="B70" s="13"/>
      <c r="C70" s="9">
        <v>8.8888888888888892E-2</v>
      </c>
      <c r="D70" s="13"/>
      <c r="E70" s="9">
        <f t="shared" si="1"/>
        <v>0.37777777777777782</v>
      </c>
    </row>
    <row r="71" spans="1:5" x14ac:dyDescent="0.35">
      <c r="A71" s="12" t="s">
        <v>35</v>
      </c>
      <c r="B71" s="13"/>
      <c r="C71" s="9">
        <v>0</v>
      </c>
      <c r="D71" s="13"/>
      <c r="E71" s="9">
        <f t="shared" si="1"/>
        <v>0.22013888888888888</v>
      </c>
    </row>
    <row r="72" spans="1:5" x14ac:dyDescent="0.35">
      <c r="A72" s="12" t="s">
        <v>11</v>
      </c>
      <c r="B72" s="13" t="s">
        <v>38</v>
      </c>
      <c r="C72" s="9">
        <v>0.27708333333333335</v>
      </c>
      <c r="D72" s="14">
        <f>SUM(C72:C85)</f>
        <v>5.0638888888888882</v>
      </c>
      <c r="E72" s="9">
        <f t="shared" ref="E72:E85" si="2">E58+C72</f>
        <v>3.4701388888888891</v>
      </c>
    </row>
    <row r="73" spans="1:5" x14ac:dyDescent="0.35">
      <c r="A73" s="12" t="s">
        <v>27</v>
      </c>
      <c r="B73" s="13"/>
      <c r="C73" s="9">
        <v>0.71805555555555556</v>
      </c>
      <c r="D73" s="13"/>
      <c r="E73" s="9">
        <f t="shared" si="2"/>
        <v>3.177083333333333</v>
      </c>
    </row>
    <row r="74" spans="1:5" x14ac:dyDescent="0.35">
      <c r="A74" s="12" t="s">
        <v>28</v>
      </c>
      <c r="B74" s="13"/>
      <c r="C74" s="9">
        <v>0.40833333333333333</v>
      </c>
      <c r="D74" s="13"/>
      <c r="E74" s="9">
        <f t="shared" si="2"/>
        <v>1.4527777777777779</v>
      </c>
    </row>
    <row r="75" spans="1:5" x14ac:dyDescent="0.35">
      <c r="A75" s="12" t="s">
        <v>7</v>
      </c>
      <c r="B75" s="13"/>
      <c r="C75" s="9">
        <v>7.7083333333333337E-2</v>
      </c>
      <c r="D75" s="13"/>
      <c r="E75" s="9">
        <f t="shared" si="2"/>
        <v>3.478472222222222</v>
      </c>
    </row>
    <row r="76" spans="1:5" x14ac:dyDescent="0.35">
      <c r="A76" s="12" t="s">
        <v>29</v>
      </c>
      <c r="B76" s="13"/>
      <c r="C76" s="9">
        <v>0.40277777777777779</v>
      </c>
      <c r="D76" s="13"/>
      <c r="E76" s="9">
        <f t="shared" si="2"/>
        <v>1.3027777777777778</v>
      </c>
    </row>
    <row r="77" spans="1:5" x14ac:dyDescent="0.35">
      <c r="A77" s="12" t="s">
        <v>10</v>
      </c>
      <c r="B77" s="13"/>
      <c r="C77" s="9">
        <v>0.8125</v>
      </c>
      <c r="D77" s="13"/>
      <c r="E77" s="9">
        <f t="shared" si="2"/>
        <v>2.7055555555555557</v>
      </c>
    </row>
    <row r="78" spans="1:5" x14ac:dyDescent="0.35">
      <c r="A78" s="12" t="s">
        <v>30</v>
      </c>
      <c r="B78" s="13"/>
      <c r="C78" s="9">
        <v>0.3527777777777778</v>
      </c>
      <c r="D78" s="13"/>
      <c r="E78" s="9">
        <f t="shared" si="2"/>
        <v>1.4583333333333335</v>
      </c>
    </row>
    <row r="79" spans="1:5" x14ac:dyDescent="0.35">
      <c r="A79" s="12" t="s">
        <v>8</v>
      </c>
      <c r="B79" s="13"/>
      <c r="C79" s="9">
        <v>0.56319444444444444</v>
      </c>
      <c r="D79" s="13"/>
      <c r="E79" s="9">
        <f t="shared" si="2"/>
        <v>2.3930555555555557</v>
      </c>
    </row>
    <row r="80" spans="1:5" x14ac:dyDescent="0.35">
      <c r="A80" s="12" t="s">
        <v>31</v>
      </c>
      <c r="B80" s="13"/>
      <c r="C80" s="9">
        <v>0.11597222222222223</v>
      </c>
      <c r="D80" s="13"/>
      <c r="E80" s="9">
        <f t="shared" si="2"/>
        <v>1.9118055555555555</v>
      </c>
    </row>
    <row r="81" spans="1:5" x14ac:dyDescent="0.35">
      <c r="A81" s="12" t="s">
        <v>32</v>
      </c>
      <c r="B81" s="13"/>
      <c r="C81" s="9">
        <v>0.26874999999999999</v>
      </c>
      <c r="D81" s="13"/>
      <c r="E81" s="9">
        <f t="shared" si="2"/>
        <v>1.7284722222222224</v>
      </c>
    </row>
    <row r="82" spans="1:5" x14ac:dyDescent="0.35">
      <c r="A82" s="12" t="s">
        <v>9</v>
      </c>
      <c r="B82" s="13"/>
      <c r="C82" s="9">
        <v>8.2638888888888887E-2</v>
      </c>
      <c r="D82" s="13"/>
      <c r="E82" s="9">
        <f t="shared" si="2"/>
        <v>0.21597222222222223</v>
      </c>
    </row>
    <row r="83" spans="1:5" x14ac:dyDescent="0.35">
      <c r="A83" s="12" t="s">
        <v>33</v>
      </c>
      <c r="B83" s="13"/>
      <c r="C83" s="9">
        <v>0.21527777777777779</v>
      </c>
      <c r="D83" s="13"/>
      <c r="E83" s="9">
        <f t="shared" si="2"/>
        <v>1.0986111111111112</v>
      </c>
    </row>
    <row r="84" spans="1:5" x14ac:dyDescent="0.35">
      <c r="A84" s="12" t="s">
        <v>34</v>
      </c>
      <c r="B84" s="13"/>
      <c r="C84" s="9">
        <v>0.38472222222222224</v>
      </c>
      <c r="D84" s="13"/>
      <c r="E84" s="9">
        <f t="shared" si="2"/>
        <v>0.76250000000000007</v>
      </c>
    </row>
    <row r="85" spans="1:5" x14ac:dyDescent="0.35">
      <c r="A85" s="12" t="s">
        <v>35</v>
      </c>
      <c r="B85" s="13"/>
      <c r="C85" s="9">
        <v>0.38472222222222224</v>
      </c>
      <c r="D85" s="13"/>
      <c r="E85" s="9">
        <f t="shared" si="2"/>
        <v>0.60486111111111107</v>
      </c>
    </row>
  </sheetData>
  <mergeCells count="13">
    <mergeCell ref="B72:B85"/>
    <mergeCell ref="D72:D85"/>
    <mergeCell ref="E2:E15"/>
    <mergeCell ref="B2:B15"/>
    <mergeCell ref="B16:B29"/>
    <mergeCell ref="B30:B43"/>
    <mergeCell ref="B44:B57"/>
    <mergeCell ref="B58:B71"/>
    <mergeCell ref="D2:D15"/>
    <mergeCell ref="D16:D29"/>
    <mergeCell ref="D30:D43"/>
    <mergeCell ref="D44:D57"/>
    <mergeCell ref="D58:D71"/>
  </mergeCells>
  <phoneticPr fontId="2" type="noConversion"/>
  <pageMargins left="0.7" right="0.7" top="0.75" bottom="0.75" header="0.3" footer="0.3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ВС</vt:lpstr>
      <vt:lpstr>КВС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Mikhaylenko</dc:creator>
  <cp:lastModifiedBy>Anton Mikhaylenko</cp:lastModifiedBy>
  <cp:lastPrinted>2026-06-01T10:42:03Z</cp:lastPrinted>
  <dcterms:created xsi:type="dcterms:W3CDTF">2015-06-05T18:17:20Z</dcterms:created>
  <dcterms:modified xsi:type="dcterms:W3CDTF">2026-07-13T08:35:07Z</dcterms:modified>
</cp:coreProperties>
</file>